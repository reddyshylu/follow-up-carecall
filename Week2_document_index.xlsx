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 index" sheetId="1" state="visible" r:id="rId3"/>
  </sheets>
  <definedNames>
    <definedName function="false" hidden="true" localSheetId="0" name="_xlnm._FilterDatabase" vbProcedure="false">'Document index'!$A$4:$G$32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<sst xmlns="http://schemas.openxmlformats.org/spreadsheetml/2006/main" count="174" uniqueCount="101">
  <si>
    <t xml:space="preserve">CareCall (Week 2 RAG), 200-patient version: document index</t>
  </si>
  <si>
    <t xml:space="preserve">Folder: Gen acedamy\patient chart RAG claude for week 2. All patient data is synthetic (Synthea). Status column has a dropdown.</t>
  </si>
  <si>
    <t xml:space="preserve">#</t>
  </si>
  <si>
    <t xml:space="preserve">Folder</t>
  </si>
  <si>
    <t xml:space="preserve">File</t>
  </si>
  <si>
    <t xml:space="preserve">Type</t>
  </si>
  <si>
    <t xml:space="preserve">What it is</t>
  </si>
  <si>
    <t xml:space="preserve">Status</t>
  </si>
  <si>
    <t xml:space="preserve">Notes</t>
  </si>
  <si>
    <t xml:space="preserve">(top)</t>
  </si>
  <si>
    <t xml:space="preserve">START_HERE.md</t>
  </si>
  <si>
    <t xml:space="preserve">Markdown</t>
  </si>
  <si>
    <t xml:space="preserve">What CareCall is, how it works, run steps, known limits</t>
  </si>
  <si>
    <t xml:space="preserve">New (200-patient)</t>
  </si>
  <si>
    <t xml:space="preserve">Start here</t>
  </si>
  <si>
    <t xml:space="preserve">build_documents.py</t>
  </si>
  <si>
    <t xml:space="preserve">Python</t>
  </si>
  <si>
    <t xml:space="preserve">RAG step 1: CSVs to 200 patient summaries + 11,615 visit documents with metadata</t>
  </si>
  <si>
    <t xml:space="preserve">Run first</t>
  </si>
  <si>
    <t xml:space="preserve">ingest.py</t>
  </si>
  <si>
    <t xml:space="preserve">RAG step 2: 20,854 chunks, BGE embeddings, upload to Pinecone namespace carecall-200-v1</t>
  </si>
  <si>
    <t xml:space="preserve">Run with --upload</t>
  </si>
  <si>
    <t xml:space="preserve">retrieval.py</t>
  </si>
  <si>
    <t xml:space="preserve">RAG step 3: hybrid search for one patient (Pinecone filter + BM25, RRF fusion, optional reranker)</t>
  </si>
  <si>
    <t xml:space="preserve">answer.py</t>
  </si>
  <si>
    <t xml:space="preserve">RAG step 4: Nebius answer; every point cited; other-patient refusal; invented citations rejected</t>
  </si>
  <si>
    <t xml:space="preserve">app.py</t>
  </si>
  <si>
    <t xml:space="preserve">RAG step 5: Streamlit screen (physician, patient, question, cited answer)</t>
  </si>
  <si>
    <t xml:space="preserve">Main app</t>
  </si>
  <si>
    <t xml:space="preserve">common.py</t>
  </si>
  <si>
    <t xml:space="preserve">Shared settings: model, chunk size, namespace, keys loading</t>
  </si>
  <si>
    <t xml:space="preserve">make_200_patient_subset.py</t>
  </si>
  <si>
    <t xml:space="preserve">Data step 1: 200 living patients in 16 physician panels</t>
  </si>
  <si>
    <t xml:space="preserve">Rebuild only</t>
  </si>
  <si>
    <t xml:space="preserve">relabel_ids.py</t>
  </si>
  <si>
    <t xml:space="preserve">Data step 2: IDs to ptA..., enaaa..., payers 101...</t>
  </si>
  <si>
    <t xml:space="preserve">Rebuild only; refuses to run twice</t>
  </si>
  <si>
    <t xml:space="preserve">check_subset.py</t>
  </si>
  <si>
    <t xml:space="preserve">Data step 3: 0 deceased, 0 stray rows, one panel per patient</t>
  </si>
  <si>
    <t xml:space="preserve">.env.example</t>
  </si>
  <si>
    <t xml:space="preserve">Text</t>
  </si>
  <si>
    <t xml:space="preserve">Template for API keys (no real keys)</t>
  </si>
  <si>
    <t xml:space="preserve">Active</t>
  </si>
  <si>
    <t xml:space="preserve">Copy your real .env here yourself; never upload it</t>
  </si>
  <si>
    <t xml:space="preserve">.gitignore</t>
  </si>
  <si>
    <t xml:space="preserve">Files Git must skip (.env, .venv, processed data, old version)</t>
  </si>
  <si>
    <t xml:space="preserve">requirements.txt, requirements-lock.txt</t>
  </si>
  <si>
    <t xml:space="preserve">Python packages to install</t>
  </si>
  <si>
    <t xml:space="preserve">.streamlit</t>
  </si>
  <si>
    <t xml:space="preserve">config.toml</t>
  </si>
  <si>
    <t xml:space="preserve">TOML</t>
  </si>
  <si>
    <t xml:space="preserve">Streamlit display settings</t>
  </si>
  <si>
    <t xml:space="preserve">data/raw/synthea_csv_nov2021/csv</t>
  </si>
  <si>
    <t xml:space="preserve">patients.csv</t>
  </si>
  <si>
    <t xml:space="preserve">CSV</t>
  </si>
  <si>
    <t xml:space="preserve">200 living patients (IDs ptA to ptGR)</t>
  </si>
  <si>
    <t xml:space="preserve">Names, SSNs and IDs are fake (Synthea; SSNs start with 999)</t>
  </si>
  <si>
    <t xml:space="preserve">physician_panels.csv</t>
  </si>
  <si>
    <t xml:space="preserve">Each patient's primary physician (16 physicians, 10 to 16 patients each)</t>
  </si>
  <si>
    <t xml:space="preserve">Created by us</t>
  </si>
  <si>
    <t xml:space="preserve">encounters.csv</t>
  </si>
  <si>
    <t xml:space="preserve">11,615 visits (IDs enaaa to enres)</t>
  </si>
  <si>
    <t xml:space="preserve">conditions.csv</t>
  </si>
  <si>
    <t xml:space="preserve">6,134 diagnoses</t>
  </si>
  <si>
    <t xml:space="preserve">medications.csv</t>
  </si>
  <si>
    <t xml:space="preserve">6,617 medication records (198 patients)</t>
  </si>
  <si>
    <t xml:space="preserve">2 patients have none</t>
  </si>
  <si>
    <t xml:space="preserve">observations.csv</t>
  </si>
  <si>
    <t xml:space="preserve">81,889 labs and vitals</t>
  </si>
  <si>
    <t xml:space="preserve">6,516 yearly quality scores have no visit (normal in Synthea)</t>
  </si>
  <si>
    <t xml:space="preserve">procedures.csv</t>
  </si>
  <si>
    <t xml:space="preserve">19,723 procedures</t>
  </si>
  <si>
    <t xml:space="preserve">careplans.csv</t>
  </si>
  <si>
    <t xml:space="preserve">885 care plans (299 active)</t>
  </si>
  <si>
    <t xml:space="preserve">Labels only; no detailed instructions</t>
  </si>
  <si>
    <t xml:space="preserve">allergies.csv</t>
  </si>
  <si>
    <t xml:space="preserve">219 allergy records (44 patients)</t>
  </si>
  <si>
    <t xml:space="preserve">156 patients have no recorded allergy</t>
  </si>
  <si>
    <t xml:space="preserve">immunizations.csv</t>
  </si>
  <si>
    <t xml:space="preserve">2,627 vaccines</t>
  </si>
  <si>
    <t xml:space="preserve">providers.csv, organizations.csv</t>
  </si>
  <si>
    <t xml:space="preserve">Doctors and clinics these patients visited</t>
  </si>
  <si>
    <t xml:space="preserve">id_map.csv</t>
  </si>
  <si>
    <t xml:space="preserve">New label to original Synthea ID, for tracing</t>
  </si>
  <si>
    <t xml:space="preserve">Not used by the app</t>
  </si>
  <si>
    <t xml:space="preserve">data/processed</t>
  </si>
  <si>
    <t xml:space="preserve">documents.jsonl, chunks.jsonl, carecall_manifest.json</t>
  </si>
  <si>
    <t xml:space="preserve">JSONL/JSON</t>
  </si>
  <si>
    <t xml:space="preserve">Built by steps 1 and 2</t>
  </si>
  <si>
    <t xml:space="preserve">Rebuilt any time; not uploaded to GitHub</t>
  </si>
  <si>
    <t xml:space="preserve">_old_version</t>
  </si>
  <si>
    <t xml:space="preserve">app.py, rag.py, population.py, tests, evals, README ...</t>
  </si>
  <si>
    <t xml:space="preserve">Python/Markdown</t>
  </si>
  <si>
    <t xml:space="preserve">The 1,163-patient version, kept for history</t>
  </si>
  <si>
    <t xml:space="preserve">Legacy (not used)</t>
  </si>
  <si>
    <t xml:space="preserve">Not used; results there are not valid for the 200</t>
  </si>
  <si>
    <t xml:space="preserve">Summary</t>
  </si>
  <si>
    <t xml:space="preserve">Old results</t>
  </si>
  <si>
    <t xml:space="preserve">Total rows</t>
  </si>
  <si>
    <t xml:space="preserve">Rebuild order</t>
  </si>
  <si>
    <t xml:space="preserve">make_200_patient_subset.py, then relabel_ids.py, then check_subset.py, then ingest_population.py --upload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</si>
</sst>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false" outlineLevel="0" max="6" min="6" style="0" width="18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4" t="s">
        <v>14</v>
      </c>
    </row>
    <row r="6" customFormat="false" ht="23.85" hidden="false" customHeight="false" outlineLevel="0" collapsed="false">
      <c r="A6" s="4" t="n">
        <v>2</v>
      </c>
      <c r="B6" s="4" t="s">
        <v>9</v>
      </c>
      <c r="C6" s="4" t="s">
        <v>15</v>
      </c>
      <c r="D6" s="4" t="s">
        <v>16</v>
      </c>
      <c r="E6" s="4" t="s">
        <v>17</v>
      </c>
      <c r="F6" s="5" t="s">
        <v>13</v>
      </c>
      <c r="G6" s="4" t="s">
        <v>18</v>
      </c>
    </row>
    <row r="7" customFormat="false" ht="23.85" hidden="false" customHeight="false" outlineLevel="0" collapsed="false">
      <c r="A7" s="4" t="n">
        <v>3</v>
      </c>
      <c r="B7" s="4" t="s">
        <v>9</v>
      </c>
      <c r="C7" s="4" t="s">
        <v>19</v>
      </c>
      <c r="D7" s="4" t="s">
        <v>16</v>
      </c>
      <c r="E7" s="4" t="s">
        <v>20</v>
      </c>
      <c r="F7" s="5" t="s">
        <v>13</v>
      </c>
      <c r="G7" s="4" t="s">
        <v>21</v>
      </c>
    </row>
    <row r="8" customFormat="false" ht="23.85" hidden="false" customHeight="false" outlineLevel="0" collapsed="false">
      <c r="A8" s="4" t="n">
        <v>4</v>
      </c>
      <c r="B8" s="4" t="s">
        <v>9</v>
      </c>
      <c r="C8" s="4" t="s">
        <v>22</v>
      </c>
      <c r="D8" s="4" t="s">
        <v>16</v>
      </c>
      <c r="E8" s="4" t="s">
        <v>23</v>
      </c>
      <c r="F8" s="5" t="s">
        <v>13</v>
      </c>
      <c r="G8" s="4"/>
    </row>
    <row r="9" customFormat="false" ht="23.85" hidden="false" customHeight="false" outlineLevel="0" collapsed="false">
      <c r="A9" s="4" t="n">
        <v>5</v>
      </c>
      <c r="B9" s="4" t="s">
        <v>9</v>
      </c>
      <c r="C9" s="4" t="s">
        <v>24</v>
      </c>
      <c r="D9" s="4" t="s">
        <v>16</v>
      </c>
      <c r="E9" s="4" t="s">
        <v>25</v>
      </c>
      <c r="F9" s="5" t="s">
        <v>13</v>
      </c>
      <c r="G9" s="4"/>
    </row>
    <row r="10" customFormat="false" ht="23.85" hidden="false" customHeight="false" outlineLevel="0" collapsed="false">
      <c r="A10" s="4" t="n">
        <v>6</v>
      </c>
      <c r="B10" s="4" t="s">
        <v>9</v>
      </c>
      <c r="C10" s="4" t="s">
        <v>26</v>
      </c>
      <c r="D10" s="4" t="s">
        <v>16</v>
      </c>
      <c r="E10" s="4" t="s">
        <v>27</v>
      </c>
      <c r="F10" s="5" t="s">
        <v>13</v>
      </c>
      <c r="G10" s="4" t="s">
        <v>28</v>
      </c>
    </row>
    <row r="11" customFormat="false" ht="15" hidden="false" customHeight="false" outlineLevel="0" collapsed="false">
      <c r="A11" s="4" t="n">
        <v>7</v>
      </c>
      <c r="B11" s="4" t="s">
        <v>9</v>
      </c>
      <c r="C11" s="4" t="s">
        <v>29</v>
      </c>
      <c r="D11" s="4" t="s">
        <v>16</v>
      </c>
      <c r="E11" s="4" t="s">
        <v>30</v>
      </c>
      <c r="F11" s="5" t="s">
        <v>13</v>
      </c>
      <c r="G11" s="4"/>
    </row>
    <row r="12" customFormat="false" ht="15" hidden="false" customHeight="false" outlineLevel="0" collapsed="false">
      <c r="A12" s="4" t="n">
        <v>8</v>
      </c>
      <c r="B12" s="4" t="s">
        <v>9</v>
      </c>
      <c r="C12" s="4" t="s">
        <v>31</v>
      </c>
      <c r="D12" s="4" t="s">
        <v>16</v>
      </c>
      <c r="E12" s="4" t="s">
        <v>32</v>
      </c>
      <c r="F12" s="5" t="s">
        <v>13</v>
      </c>
      <c r="G12" s="4" t="s">
        <v>33</v>
      </c>
    </row>
    <row r="13" customFormat="false" ht="15" hidden="false" customHeight="false" outlineLevel="0" collapsed="false">
      <c r="A13" s="4" t="n">
        <v>9</v>
      </c>
      <c r="B13" s="4" t="s">
        <v>9</v>
      </c>
      <c r="C13" s="4" t="s">
        <v>34</v>
      </c>
      <c r="D13" s="4" t="s">
        <v>16</v>
      </c>
      <c r="E13" s="4" t="s">
        <v>35</v>
      </c>
      <c r="F13" s="5" t="s">
        <v>13</v>
      </c>
      <c r="G13" s="4" t="s">
        <v>36</v>
      </c>
    </row>
    <row r="14" customFormat="false" ht="15" hidden="false" customHeight="false" outlineLevel="0" collapsed="false">
      <c r="A14" s="4" t="n">
        <v>10</v>
      </c>
      <c r="B14" s="4" t="s">
        <v>9</v>
      </c>
      <c r="C14" s="4" t="s">
        <v>37</v>
      </c>
      <c r="D14" s="4" t="s">
        <v>16</v>
      </c>
      <c r="E14" s="4" t="s">
        <v>38</v>
      </c>
      <c r="F14" s="5" t="s">
        <v>13</v>
      </c>
      <c r="G14" s="4" t="s">
        <v>33</v>
      </c>
    </row>
    <row r="15" customFormat="false" ht="15" hidden="false" customHeight="false" outlineLevel="0" collapsed="false">
      <c r="A15" s="4" t="n">
        <v>11</v>
      </c>
      <c r="B15" s="4" t="s">
        <v>9</v>
      </c>
      <c r="C15" s="4" t="s">
        <v>39</v>
      </c>
      <c r="D15" s="4" t="s">
        <v>40</v>
      </c>
      <c r="E15" s="4" t="s">
        <v>41</v>
      </c>
      <c r="F15" s="6" t="s">
        <v>42</v>
      </c>
      <c r="G15" s="4" t="s">
        <v>43</v>
      </c>
    </row>
    <row r="16" customFormat="false" ht="15" hidden="false" customHeight="false" outlineLevel="0" collapsed="false">
      <c r="A16" s="4" t="n">
        <v>12</v>
      </c>
      <c r="B16" s="4" t="s">
        <v>9</v>
      </c>
      <c r="C16" s="4" t="s">
        <v>44</v>
      </c>
      <c r="D16" s="4" t="s">
        <v>40</v>
      </c>
      <c r="E16" s="4" t="s">
        <v>45</v>
      </c>
      <c r="F16" s="6" t="s">
        <v>42</v>
      </c>
      <c r="G16" s="4"/>
    </row>
    <row r="17" customFormat="false" ht="15" hidden="false" customHeight="false" outlineLevel="0" collapsed="false">
      <c r="A17" s="4" t="n">
        <v>13</v>
      </c>
      <c r="B17" s="4" t="s">
        <v>9</v>
      </c>
      <c r="C17" s="4" t="s">
        <v>46</v>
      </c>
      <c r="D17" s="4" t="s">
        <v>40</v>
      </c>
      <c r="E17" s="4" t="s">
        <v>47</v>
      </c>
      <c r="F17" s="6" t="s">
        <v>42</v>
      </c>
      <c r="G17" s="4"/>
    </row>
    <row r="18" customFormat="false" ht="15" hidden="false" customHeight="false" outlineLevel="0" collapsed="false">
      <c r="A18" s="4" t="n">
        <v>14</v>
      </c>
      <c r="B18" s="4" t="s">
        <v>48</v>
      </c>
      <c r="C18" s="4" t="s">
        <v>49</v>
      </c>
      <c r="D18" s="4" t="s">
        <v>50</v>
      </c>
      <c r="E18" s="4" t="s">
        <v>51</v>
      </c>
      <c r="F18" s="6" t="s">
        <v>42</v>
      </c>
      <c r="G18" s="4"/>
    </row>
    <row r="19" customFormat="false" ht="23.85" hidden="false" customHeight="false" outlineLevel="0" collapsed="false">
      <c r="A19" s="4" t="n">
        <v>15</v>
      </c>
      <c r="B19" s="4" t="s">
        <v>52</v>
      </c>
      <c r="C19" s="4" t="s">
        <v>53</v>
      </c>
      <c r="D19" s="4" t="s">
        <v>54</v>
      </c>
      <c r="E19" s="4" t="s">
        <v>55</v>
      </c>
      <c r="F19" s="5" t="s">
        <v>13</v>
      </c>
      <c r="G19" s="4" t="s">
        <v>56</v>
      </c>
    </row>
    <row r="20" customFormat="false" ht="23.85" hidden="false" customHeight="false" outlineLevel="0" collapsed="false">
      <c r="A20" s="4" t="n">
        <v>16</v>
      </c>
      <c r="B20" s="4" t="s">
        <v>52</v>
      </c>
      <c r="C20" s="4" t="s">
        <v>57</v>
      </c>
      <c r="D20" s="4" t="s">
        <v>54</v>
      </c>
      <c r="E20" s="4" t="s">
        <v>58</v>
      </c>
      <c r="F20" s="5" t="s">
        <v>13</v>
      </c>
      <c r="G20" s="4" t="s">
        <v>59</v>
      </c>
    </row>
    <row r="21" customFormat="false" ht="23.85" hidden="false" customHeight="false" outlineLevel="0" collapsed="false">
      <c r="A21" s="4" t="n">
        <v>17</v>
      </c>
      <c r="B21" s="4" t="s">
        <v>52</v>
      </c>
      <c r="C21" s="4" t="s">
        <v>60</v>
      </c>
      <c r="D21" s="4" t="s">
        <v>54</v>
      </c>
      <c r="E21" s="4" t="s">
        <v>61</v>
      </c>
      <c r="F21" s="5" t="s">
        <v>13</v>
      </c>
      <c r="G21" s="4"/>
    </row>
    <row r="22" customFormat="false" ht="23.85" hidden="false" customHeight="false" outlineLevel="0" collapsed="false">
      <c r="A22" s="4" t="n">
        <v>18</v>
      </c>
      <c r="B22" s="4" t="s">
        <v>52</v>
      </c>
      <c r="C22" s="4" t="s">
        <v>62</v>
      </c>
      <c r="D22" s="4" t="s">
        <v>54</v>
      </c>
      <c r="E22" s="4" t="s">
        <v>63</v>
      </c>
      <c r="F22" s="5" t="s">
        <v>13</v>
      </c>
      <c r="G22" s="4"/>
    </row>
    <row r="23" customFormat="false" ht="23.85" hidden="false" customHeight="false" outlineLevel="0" collapsed="false">
      <c r="A23" s="4" t="n">
        <v>19</v>
      </c>
      <c r="B23" s="4" t="s">
        <v>52</v>
      </c>
      <c r="C23" s="4" t="s">
        <v>64</v>
      </c>
      <c r="D23" s="4" t="s">
        <v>54</v>
      </c>
      <c r="E23" s="4" t="s">
        <v>65</v>
      </c>
      <c r="F23" s="5" t="s">
        <v>13</v>
      </c>
      <c r="G23" s="4" t="s">
        <v>66</v>
      </c>
    </row>
    <row r="24" customFormat="false" ht="23.85" hidden="false" customHeight="false" outlineLevel="0" collapsed="false">
      <c r="A24" s="4" t="n">
        <v>20</v>
      </c>
      <c r="B24" s="4" t="s">
        <v>52</v>
      </c>
      <c r="C24" s="4" t="s">
        <v>67</v>
      </c>
      <c r="D24" s="4" t="s">
        <v>54</v>
      </c>
      <c r="E24" s="4" t="s">
        <v>68</v>
      </c>
      <c r="F24" s="5" t="s">
        <v>13</v>
      </c>
      <c r="G24" s="4" t="s">
        <v>69</v>
      </c>
    </row>
    <row r="25" customFormat="false" ht="23.85" hidden="false" customHeight="false" outlineLevel="0" collapsed="false">
      <c r="A25" s="4" t="n">
        <v>21</v>
      </c>
      <c r="B25" s="4" t="s">
        <v>52</v>
      </c>
      <c r="C25" s="4" t="s">
        <v>70</v>
      </c>
      <c r="D25" s="4" t="s">
        <v>54</v>
      </c>
      <c r="E25" s="4" t="s">
        <v>71</v>
      </c>
      <c r="F25" s="5" t="s">
        <v>13</v>
      </c>
      <c r="G25" s="4"/>
    </row>
    <row r="26" customFormat="false" ht="23.85" hidden="false" customHeight="false" outlineLevel="0" collapsed="false">
      <c r="A26" s="4" t="n">
        <v>22</v>
      </c>
      <c r="B26" s="4" t="s">
        <v>52</v>
      </c>
      <c r="C26" s="4" t="s">
        <v>72</v>
      </c>
      <c r="D26" s="4" t="s">
        <v>54</v>
      </c>
      <c r="E26" s="4" t="s">
        <v>73</v>
      </c>
      <c r="F26" s="5" t="s">
        <v>13</v>
      </c>
      <c r="G26" s="4" t="s">
        <v>74</v>
      </c>
    </row>
    <row r="27" customFormat="false" ht="23.85" hidden="false" customHeight="false" outlineLevel="0" collapsed="false">
      <c r="A27" s="4" t="n">
        <v>23</v>
      </c>
      <c r="B27" s="4" t="s">
        <v>52</v>
      </c>
      <c r="C27" s="4" t="s">
        <v>75</v>
      </c>
      <c r="D27" s="4" t="s">
        <v>54</v>
      </c>
      <c r="E27" s="4" t="s">
        <v>76</v>
      </c>
      <c r="F27" s="5" t="s">
        <v>13</v>
      </c>
      <c r="G27" s="4" t="s">
        <v>77</v>
      </c>
    </row>
    <row r="28" customFormat="false" ht="23.85" hidden="false" customHeight="false" outlineLevel="0" collapsed="false">
      <c r="A28" s="4" t="n">
        <v>24</v>
      </c>
      <c r="B28" s="4" t="s">
        <v>52</v>
      </c>
      <c r="C28" s="4" t="s">
        <v>78</v>
      </c>
      <c r="D28" s="4" t="s">
        <v>54</v>
      </c>
      <c r="E28" s="4" t="s">
        <v>79</v>
      </c>
      <c r="F28" s="5" t="s">
        <v>13</v>
      </c>
      <c r="G28" s="4"/>
    </row>
    <row r="29" customFormat="false" ht="23.85" hidden="false" customHeight="false" outlineLevel="0" collapsed="false">
      <c r="A29" s="4" t="n">
        <v>25</v>
      </c>
      <c r="B29" s="4" t="s">
        <v>52</v>
      </c>
      <c r="C29" s="4" t="s">
        <v>80</v>
      </c>
      <c r="D29" s="4" t="s">
        <v>54</v>
      </c>
      <c r="E29" s="4" t="s">
        <v>81</v>
      </c>
      <c r="F29" s="5" t="s">
        <v>13</v>
      </c>
      <c r="G29" s="4"/>
    </row>
    <row r="30" customFormat="false" ht="23.85" hidden="false" customHeight="false" outlineLevel="0" collapsed="false">
      <c r="A30" s="4" t="n">
        <v>26</v>
      </c>
      <c r="B30" s="4" t="s">
        <v>52</v>
      </c>
      <c r="C30" s="4" t="s">
        <v>82</v>
      </c>
      <c r="D30" s="4" t="s">
        <v>54</v>
      </c>
      <c r="E30" s="4" t="s">
        <v>83</v>
      </c>
      <c r="F30" s="5" t="s">
        <v>13</v>
      </c>
      <c r="G30" s="4" t="s">
        <v>84</v>
      </c>
    </row>
    <row r="31" customFormat="false" ht="23.85" hidden="false" customHeight="false" outlineLevel="0" collapsed="false">
      <c r="A31" s="4" t="n">
        <v>27</v>
      </c>
      <c r="B31" s="4" t="s">
        <v>85</v>
      </c>
      <c r="C31" s="4" t="s">
        <v>86</v>
      </c>
      <c r="D31" s="4" t="s">
        <v>87</v>
      </c>
      <c r="E31" s="4" t="s">
        <v>88</v>
      </c>
      <c r="F31" s="5" t="s">
        <v>13</v>
      </c>
      <c r="G31" s="4" t="s">
        <v>89</v>
      </c>
    </row>
    <row r="32" customFormat="false" ht="23.85" hidden="false" customHeight="false" outlineLevel="0" collapsed="false">
      <c r="A32" s="4" t="n">
        <v>28</v>
      </c>
      <c r="B32" s="4" t="s">
        <v>90</v>
      </c>
      <c r="C32" s="4" t="s">
        <v>91</v>
      </c>
      <c r="D32" s="4" t="s">
        <v>92</v>
      </c>
      <c r="E32" s="4" t="s">
        <v>93</v>
      </c>
      <c r="F32" s="7" t="s">
        <v>94</v>
      </c>
      <c r="G32" s="4" t="s">
        <v>95</v>
      </c>
    </row>
    <row r="34" customFormat="false" ht="15" hidden="false" customHeight="false" outlineLevel="0" collapsed="false">
      <c r="B34" s="8" t="s">
        <v>96</v>
      </c>
    </row>
    <row r="35" customFormat="false" ht="15" hidden="false" customHeight="false" outlineLevel="0" collapsed="false">
      <c r="B35" s="9" t="s">
        <v>13</v>
      </c>
      <c r="C35" s="9" t="n">
        <f aca="false">COUNTIF($F$5:$F$32,B35)</f>
        <v>23</v>
      </c>
    </row>
    <row r="36" customFormat="false" ht="15" hidden="false" customHeight="false" outlineLevel="0" collapsed="false">
      <c r="B36" s="9" t="s">
        <v>42</v>
      </c>
      <c r="C36" s="9" t="n">
        <f aca="false">COUNTIF($F$5:$F$32,B36)</f>
        <v>4</v>
      </c>
    </row>
    <row r="37" customFormat="false" ht="15" hidden="false" customHeight="false" outlineLevel="0" collapsed="false">
      <c r="B37" s="9" t="s">
        <v>94</v>
      </c>
      <c r="C37" s="9" t="n">
        <f aca="false">COUNTIF($F$5:$F$32,B37)</f>
        <v>1</v>
      </c>
    </row>
    <row r="38" customFormat="false" ht="15" hidden="false" customHeight="false" outlineLevel="0" collapsed="false">
      <c r="B38" s="9" t="s">
        <v>97</v>
      </c>
      <c r="C38" s="9" t="n">
        <f aca="false">COUNTIF($F$5:$F$32,B38)</f>
        <v>0</v>
      </c>
    </row>
    <row r="39" customFormat="false" ht="15" hidden="false" customHeight="false" outlineLevel="0" collapsed="false">
      <c r="B39" s="10" t="s">
        <v>98</v>
      </c>
      <c r="C39" s="10" t="n">
        <f aca="false">COUNTA($C$5:$C$32)</f>
        <v>28</v>
      </c>
    </row>
    <row r="41" customFormat="false" ht="15" hidden="false" customHeight="false" outlineLevel="0" collapsed="false">
      <c r="B41" s="8" t="s">
        <v>99</v>
      </c>
      <c r="C41" s="9" t="s">
        <v>100</v>
      </c>
    </row>
  </sheetData>
  <autoFilter ref="A4:G32"/>
  <dataValidations count="1">
    <dataValidation allowBlank="false" errorStyle="stop" operator="between" showDropDown="false" showErrorMessage="false" showInputMessage="false" sqref="F5:F32" type="list">
      <formula1>"Active,New (200-patient),Legacy (not used),Old results"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2026-10-27T20:19:05Z</dcterms:created>
  <dc:creator>openpyxl</dc:creator>
  <dc:description/>
  <dc:language>en-US</dc:language>
  <cp:lastModifiedBy/>
  <dcterms:modified xsi:type="dcterms:W3CDTF">2026-10-27T20:19:05Z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